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esktop\IB ops projects\"/>
    </mc:Choice>
  </mc:AlternateContent>
  <xr:revisionPtr revIDLastSave="0" documentId="13_ncr:1_{C343D9CE-E2F3-499A-A408-BC7F37F60BAE}" xr6:coauthVersionLast="47" xr6:coauthVersionMax="47" xr10:uidLastSave="{00000000-0000-0000-0000-000000000000}"/>
  <bookViews>
    <workbookView xWindow="-108" yWindow="-108" windowWidth="23256" windowHeight="12456" activeTab="2" xr2:uid="{4429D54B-81F2-47E9-A633-BC4941014618}"/>
  </bookViews>
  <sheets>
    <sheet name="Trades_Import" sheetId="1" r:id="rId1"/>
    <sheet name="Trades_Processed" sheetId="2" r:id="rId2"/>
    <sheet name="Settlement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D6" i="3"/>
  <c r="C6" i="3"/>
  <c r="E6" i="3" s="1"/>
  <c r="C7" i="3"/>
  <c r="E7" i="3" s="1"/>
  <c r="C8" i="3"/>
  <c r="E8" i="3" s="1"/>
  <c r="B6" i="3"/>
  <c r="B7" i="3"/>
  <c r="B8" i="3"/>
  <c r="I5" i="1"/>
  <c r="I6" i="1"/>
  <c r="I7" i="1"/>
  <c r="I8" i="1"/>
  <c r="I9" i="1"/>
  <c r="I4" i="1"/>
</calcChain>
</file>

<file path=xl/sharedStrings.xml><?xml version="1.0" encoding="utf-8"?>
<sst xmlns="http://schemas.openxmlformats.org/spreadsheetml/2006/main" count="108" uniqueCount="50">
  <si>
    <t>Trade ID</t>
  </si>
  <si>
    <t>Trade Date</t>
  </si>
  <si>
    <t>Security Name</t>
  </si>
  <si>
    <t>Asset class</t>
  </si>
  <si>
    <t>Counterparty</t>
  </si>
  <si>
    <t>Trade value</t>
  </si>
  <si>
    <t>Maket</t>
  </si>
  <si>
    <t>Status</t>
  </si>
  <si>
    <t>Clearing Status</t>
  </si>
  <si>
    <t>Settlement Status</t>
  </si>
  <si>
    <t>Settlement Date</t>
  </si>
  <si>
    <t>T001</t>
  </si>
  <si>
    <t>T002</t>
  </si>
  <si>
    <t>T003</t>
  </si>
  <si>
    <t>T004</t>
  </si>
  <si>
    <t>T005</t>
  </si>
  <si>
    <t>T006</t>
  </si>
  <si>
    <t>HDFC Bank</t>
  </si>
  <si>
    <t>Reliance</t>
  </si>
  <si>
    <t>Infosys</t>
  </si>
  <si>
    <t>SBI 2028 Corporate Bond</t>
  </si>
  <si>
    <t>Apple</t>
  </si>
  <si>
    <t>US Treasury 2034 Govt Bond</t>
  </si>
  <si>
    <t>Equity</t>
  </si>
  <si>
    <t>Bond</t>
  </si>
  <si>
    <t>Side</t>
  </si>
  <si>
    <t>Qty</t>
  </si>
  <si>
    <t>price</t>
  </si>
  <si>
    <t>counterpart</t>
  </si>
  <si>
    <t>Value</t>
  </si>
  <si>
    <t>Buy</t>
  </si>
  <si>
    <t>sell</t>
  </si>
  <si>
    <t>Citi</t>
  </si>
  <si>
    <t>HSBC</t>
  </si>
  <si>
    <t>JPM</t>
  </si>
  <si>
    <t>ICICI</t>
  </si>
  <si>
    <t>Morgan Stanley</t>
  </si>
  <si>
    <t>Goldman Sachs</t>
  </si>
  <si>
    <t>confirmed</t>
  </si>
  <si>
    <t>unconfirmed</t>
  </si>
  <si>
    <t>Cleared</t>
  </si>
  <si>
    <t>Not Cleared</t>
  </si>
  <si>
    <t>Settled</t>
  </si>
  <si>
    <t>Failed</t>
  </si>
  <si>
    <t>-</t>
  </si>
  <si>
    <t>Total Trades</t>
  </si>
  <si>
    <t>Settlement Rate(%)</t>
  </si>
  <si>
    <t>Trades Import</t>
  </si>
  <si>
    <t>Trades Processed</t>
  </si>
  <si>
    <t>Settlement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</si>
</sst>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A5E9-7AEF-4294-959F-251BAF97D5D0}">
  <dimension ref="A1:I9"/>
  <sheetViews>
    <sheetView showGridLines="0" workbookViewId="0">
      <selection activeCell="F2" sqref="F2"/>
    </sheetView>
  </sheetViews>
  <sheetFormatPr defaultRowHeight="14.4" x14ac:dyDescent="0.3"/>
  <cols>
    <col min="2" max="2" width="10.33203125" bestFit="1" customWidth="1"/>
    <col min="3" max="3" width="18.5546875" customWidth="1"/>
    <col min="8" max="8" width="15.109375" customWidth="1"/>
  </cols>
  <sheetData>
    <row r="1" spans="1:9" ht="21" x14ac:dyDescent="0.4">
      <c r="D1" s="8" t="s">
        <v>47</v>
      </c>
    </row>
    <row r="2" spans="1:9" ht="15" thickBot="1" x14ac:dyDescent="0.35"/>
    <row r="3" spans="1:9" ht="29.4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 spans="1:9" ht="15" thickBot="1" x14ac:dyDescent="0.35">
      <c r="A4" s="6" t="s">
        <v>11</v>
      </c>
      <c r="B4" s="7">
        <v>45985</v>
      </c>
      <c r="C4" s="4" t="s">
        <v>17</v>
      </c>
      <c r="D4" s="2" t="s">
        <v>23</v>
      </c>
      <c r="E4" s="2" t="s">
        <v>30</v>
      </c>
      <c r="F4" s="2">
        <v>50</v>
      </c>
      <c r="G4" s="2">
        <v>1580</v>
      </c>
      <c r="H4" s="2" t="s">
        <v>32</v>
      </c>
      <c r="I4" s="2">
        <f>F4*G4</f>
        <v>79000</v>
      </c>
    </row>
    <row r="5" spans="1:9" ht="15" thickBot="1" x14ac:dyDescent="0.35">
      <c r="A5" s="6" t="s">
        <v>12</v>
      </c>
      <c r="B5" s="7">
        <v>45985</v>
      </c>
      <c r="C5" s="4" t="s">
        <v>18</v>
      </c>
      <c r="D5" s="2" t="s">
        <v>23</v>
      </c>
      <c r="E5" s="2" t="s">
        <v>30</v>
      </c>
      <c r="F5" s="2">
        <v>12</v>
      </c>
      <c r="G5" s="2">
        <v>2480</v>
      </c>
      <c r="H5" s="2" t="s">
        <v>33</v>
      </c>
      <c r="I5" s="2">
        <f t="shared" ref="I5:I9" si="0">F5*G5</f>
        <v>29760</v>
      </c>
    </row>
    <row r="6" spans="1:9" ht="15" thickBot="1" x14ac:dyDescent="0.35">
      <c r="A6" s="6" t="s">
        <v>13</v>
      </c>
      <c r="B6" s="7">
        <v>45986</v>
      </c>
      <c r="C6" s="4" t="s">
        <v>19</v>
      </c>
      <c r="D6" s="2" t="s">
        <v>23</v>
      </c>
      <c r="E6" s="2" t="s">
        <v>30</v>
      </c>
      <c r="F6" s="2">
        <v>30</v>
      </c>
      <c r="G6" s="2">
        <v>1300</v>
      </c>
      <c r="H6" s="2" t="s">
        <v>34</v>
      </c>
      <c r="I6" s="2">
        <f t="shared" si="0"/>
        <v>39000</v>
      </c>
    </row>
    <row r="7" spans="1:9" ht="29.4" thickBot="1" x14ac:dyDescent="0.35">
      <c r="A7" s="6" t="s">
        <v>14</v>
      </c>
      <c r="B7" s="7">
        <v>45986</v>
      </c>
      <c r="C7" s="4" t="s">
        <v>20</v>
      </c>
      <c r="D7" s="2" t="s">
        <v>24</v>
      </c>
      <c r="E7" s="2" t="s">
        <v>30</v>
      </c>
      <c r="F7" s="2">
        <v>10</v>
      </c>
      <c r="G7" s="2">
        <v>1000</v>
      </c>
      <c r="H7" s="2" t="s">
        <v>35</v>
      </c>
      <c r="I7" s="2">
        <f t="shared" si="0"/>
        <v>10000</v>
      </c>
    </row>
    <row r="8" spans="1:9" ht="15" thickBot="1" x14ac:dyDescent="0.35">
      <c r="A8" s="6" t="s">
        <v>15</v>
      </c>
      <c r="B8" s="7">
        <v>45987</v>
      </c>
      <c r="C8" s="4" t="s">
        <v>21</v>
      </c>
      <c r="D8" s="2" t="s">
        <v>23</v>
      </c>
      <c r="E8" s="2" t="s">
        <v>30</v>
      </c>
      <c r="F8" s="2">
        <v>5</v>
      </c>
      <c r="G8" s="2">
        <v>195</v>
      </c>
      <c r="H8" s="2" t="s">
        <v>37</v>
      </c>
      <c r="I8" s="2">
        <f t="shared" si="0"/>
        <v>975</v>
      </c>
    </row>
    <row r="9" spans="1:9" ht="29.4" thickBot="1" x14ac:dyDescent="0.35">
      <c r="A9" s="6" t="s">
        <v>16</v>
      </c>
      <c r="B9" s="7">
        <v>45987</v>
      </c>
      <c r="C9" s="4" t="s">
        <v>22</v>
      </c>
      <c r="D9" s="2" t="s">
        <v>24</v>
      </c>
      <c r="E9" s="2" t="s">
        <v>31</v>
      </c>
      <c r="F9" s="2">
        <v>3</v>
      </c>
      <c r="G9" s="2">
        <v>100</v>
      </c>
      <c r="H9" s="2" t="s">
        <v>36</v>
      </c>
      <c r="I9" s="2">
        <f t="shared" si="0"/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9946-FD3F-41A9-8C1D-EFBF3BEA1338}">
  <dimension ref="A2:K10"/>
  <sheetViews>
    <sheetView showGridLines="0" workbookViewId="0">
      <selection activeCell="Q4" sqref="Q4"/>
    </sheetView>
  </sheetViews>
  <sheetFormatPr defaultRowHeight="14.4" x14ac:dyDescent="0.3"/>
  <cols>
    <col min="2" max="2" width="10.33203125" bestFit="1" customWidth="1"/>
    <col min="3" max="3" width="14.44140625" customWidth="1"/>
    <col min="5" max="5" width="16.77734375" customWidth="1"/>
    <col min="10" max="10" width="14.21875" customWidth="1"/>
    <col min="11" max="11" width="14.33203125" customWidth="1"/>
  </cols>
  <sheetData>
    <row r="2" spans="1:11" ht="23.4" x14ac:dyDescent="0.45">
      <c r="E2" s="9" t="s">
        <v>48</v>
      </c>
    </row>
    <row r="3" spans="1:11" ht="15" thickBot="1" x14ac:dyDescent="0.35"/>
    <row r="4" spans="1:11" ht="29.4" thickBo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5" thickBot="1" x14ac:dyDescent="0.35">
      <c r="A5" s="2" t="s">
        <v>11</v>
      </c>
      <c r="B5" s="3">
        <v>45985</v>
      </c>
      <c r="C5" s="4" t="s">
        <v>17</v>
      </c>
      <c r="D5" s="2" t="s">
        <v>23</v>
      </c>
      <c r="E5" s="2" t="s">
        <v>32</v>
      </c>
      <c r="F5" s="2">
        <v>79000</v>
      </c>
      <c r="G5" s="2" t="s">
        <v>23</v>
      </c>
      <c r="H5" s="2" t="s">
        <v>38</v>
      </c>
      <c r="I5" s="2" t="s">
        <v>40</v>
      </c>
      <c r="J5" s="2" t="s">
        <v>42</v>
      </c>
      <c r="K5" s="3">
        <v>45988</v>
      </c>
    </row>
    <row r="6" spans="1:11" ht="15" thickBot="1" x14ac:dyDescent="0.35">
      <c r="A6" s="2" t="s">
        <v>12</v>
      </c>
      <c r="B6" s="3">
        <v>45985</v>
      </c>
      <c r="C6" s="4" t="s">
        <v>18</v>
      </c>
      <c r="D6" s="2" t="s">
        <v>23</v>
      </c>
      <c r="E6" s="2" t="s">
        <v>33</v>
      </c>
      <c r="F6" s="2">
        <v>29760</v>
      </c>
      <c r="G6" s="2" t="s">
        <v>23</v>
      </c>
      <c r="H6" s="2" t="s">
        <v>39</v>
      </c>
      <c r="I6" s="2" t="s">
        <v>41</v>
      </c>
      <c r="J6" s="2" t="s">
        <v>43</v>
      </c>
      <c r="K6" s="2" t="s">
        <v>44</v>
      </c>
    </row>
    <row r="7" spans="1:11" ht="15" thickBot="1" x14ac:dyDescent="0.35">
      <c r="A7" s="2" t="s">
        <v>13</v>
      </c>
      <c r="B7" s="3">
        <v>45986</v>
      </c>
      <c r="C7" s="4" t="s">
        <v>19</v>
      </c>
      <c r="D7" s="2" t="s">
        <v>23</v>
      </c>
      <c r="E7" s="2" t="s">
        <v>34</v>
      </c>
      <c r="F7" s="2">
        <v>39000</v>
      </c>
      <c r="G7" s="2" t="s">
        <v>23</v>
      </c>
      <c r="H7" s="2" t="s">
        <v>38</v>
      </c>
      <c r="I7" s="2" t="s">
        <v>40</v>
      </c>
      <c r="J7" s="2" t="s">
        <v>43</v>
      </c>
      <c r="K7" s="3">
        <v>45988</v>
      </c>
    </row>
    <row r="8" spans="1:11" ht="29.4" thickBot="1" x14ac:dyDescent="0.35">
      <c r="A8" s="2" t="s">
        <v>14</v>
      </c>
      <c r="B8" s="3">
        <v>45986</v>
      </c>
      <c r="C8" s="4" t="s">
        <v>20</v>
      </c>
      <c r="D8" s="2" t="s">
        <v>24</v>
      </c>
      <c r="E8" s="2" t="s">
        <v>35</v>
      </c>
      <c r="F8" s="2">
        <v>10000</v>
      </c>
      <c r="G8" s="2" t="s">
        <v>24</v>
      </c>
      <c r="H8" s="2" t="s">
        <v>38</v>
      </c>
      <c r="I8" s="2" t="s">
        <v>40</v>
      </c>
      <c r="J8" s="2" t="s">
        <v>42</v>
      </c>
      <c r="K8" s="3">
        <v>45989</v>
      </c>
    </row>
    <row r="9" spans="1:11" ht="15" thickBot="1" x14ac:dyDescent="0.35">
      <c r="A9" s="2" t="s">
        <v>15</v>
      </c>
      <c r="B9" s="3">
        <v>45987</v>
      </c>
      <c r="C9" s="4" t="s">
        <v>21</v>
      </c>
      <c r="D9" s="2" t="s">
        <v>23</v>
      </c>
      <c r="E9" s="2" t="s">
        <v>37</v>
      </c>
      <c r="F9" s="2">
        <v>975</v>
      </c>
      <c r="G9" s="2" t="s">
        <v>23</v>
      </c>
      <c r="H9" s="2" t="s">
        <v>38</v>
      </c>
      <c r="I9" s="2" t="s">
        <v>40</v>
      </c>
      <c r="J9" s="2" t="s">
        <v>42</v>
      </c>
      <c r="K9" s="3">
        <v>45989</v>
      </c>
    </row>
    <row r="10" spans="1:11" ht="29.4" thickBot="1" x14ac:dyDescent="0.35">
      <c r="A10" s="2" t="s">
        <v>16</v>
      </c>
      <c r="B10" s="3">
        <v>45987</v>
      </c>
      <c r="C10" s="4" t="s">
        <v>22</v>
      </c>
      <c r="D10" s="2" t="s">
        <v>24</v>
      </c>
      <c r="E10" s="2" t="s">
        <v>36</v>
      </c>
      <c r="F10" s="2">
        <v>300</v>
      </c>
      <c r="G10" s="2" t="s">
        <v>24</v>
      </c>
      <c r="H10" s="2" t="s">
        <v>38</v>
      </c>
      <c r="I10" s="2" t="s">
        <v>41</v>
      </c>
      <c r="J10" s="2" t="s">
        <v>43</v>
      </c>
      <c r="K10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93D3-CAC9-4985-A758-D02223BCB8C1}">
  <dimension ref="A3:E8"/>
  <sheetViews>
    <sheetView showGridLines="0" tabSelected="1" workbookViewId="0">
      <selection activeCell="E3" sqref="E3"/>
    </sheetView>
  </sheetViews>
  <sheetFormatPr defaultRowHeight="14.4" x14ac:dyDescent="0.3"/>
  <cols>
    <col min="1" max="1" width="10.6640625" customWidth="1"/>
    <col min="2" max="2" width="10.33203125" bestFit="1" customWidth="1"/>
    <col min="5" max="5" width="13.88671875" customWidth="1"/>
    <col min="10" max="10" width="11.109375" customWidth="1"/>
    <col min="11" max="11" width="10.88671875" customWidth="1"/>
  </cols>
  <sheetData>
    <row r="3" spans="1:5" ht="21" x14ac:dyDescent="0.4">
      <c r="B3" s="8" t="s">
        <v>49</v>
      </c>
    </row>
    <row r="4" spans="1:5" ht="15" thickBot="1" x14ac:dyDescent="0.35"/>
    <row r="5" spans="1:5" ht="29.4" thickBot="1" x14ac:dyDescent="0.35">
      <c r="A5" s="1" t="s">
        <v>1</v>
      </c>
      <c r="B5" s="1" t="s">
        <v>45</v>
      </c>
      <c r="C5" s="1" t="s">
        <v>42</v>
      </c>
      <c r="D5" s="1" t="s">
        <v>43</v>
      </c>
      <c r="E5" s="1" t="s">
        <v>46</v>
      </c>
    </row>
    <row r="6" spans="1:5" ht="15" thickBot="1" x14ac:dyDescent="0.35">
      <c r="A6" s="3">
        <v>45985</v>
      </c>
      <c r="B6" s="2">
        <f>COUNTIF(Trades_Processed!B:B, A6)</f>
        <v>2</v>
      </c>
      <c r="C6" s="2">
        <f>COUNTIFS(Trades_Processed!B:B, A6, Trades_Processed!J:J, "Failed")</f>
        <v>1</v>
      </c>
      <c r="D6" s="2">
        <f>COUNTIFS(Trades_Processed!B:B, A6, Trades_Processed!J:J, "Failed")</f>
        <v>1</v>
      </c>
      <c r="E6" s="5">
        <f>C6 / B6</f>
        <v>0.5</v>
      </c>
    </row>
    <row r="7" spans="1:5" ht="15" thickBot="1" x14ac:dyDescent="0.35">
      <c r="A7" s="3">
        <v>45986</v>
      </c>
      <c r="B7" s="2">
        <f>COUNTIF(Trades_Processed!B:B, A7)</f>
        <v>2</v>
      </c>
      <c r="C7" s="2">
        <f>COUNTIFS(Trades_Processed!B:B, A7, Trades_Processed!J:J, "Failed")</f>
        <v>1</v>
      </c>
      <c r="D7" s="2">
        <f>COUNTIFS(Trades_Processed!B:B, A7, Trades_Processed!J:J, "Failed")</f>
        <v>1</v>
      </c>
      <c r="E7" s="5">
        <f t="shared" ref="E7:E8" si="0">C7 / B7</f>
        <v>0.5</v>
      </c>
    </row>
    <row r="8" spans="1:5" ht="15" thickBot="1" x14ac:dyDescent="0.35">
      <c r="A8" s="3">
        <v>45987</v>
      </c>
      <c r="B8" s="2">
        <f>COUNTIF(Trades_Processed!B:B, A8)</f>
        <v>2</v>
      </c>
      <c r="C8" s="2">
        <f>COUNTIFS(Trades_Processed!B:B, A8, Trades_Processed!J:J, "Failed")</f>
        <v>1</v>
      </c>
      <c r="D8" s="2">
        <f>COUNTIFS(Trades_Processed!B:B, A8, Trades_Processed!J:J, "Failed")</f>
        <v>1</v>
      </c>
      <c r="E8" s="5">
        <f t="shared" si="0"/>
        <v>0.5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Trades_Import</vt:lpstr>
      <vt:lpstr>Trades_Processed</vt:lpstr>
      <vt:lpstr>Settlement_Report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 Donthula</dc:creator>
  <cp:lastModifiedBy>Charan kumar Donthula</cp:lastModifiedBy>
  <dcterms:created xsi:type="dcterms:W3CDTF">2025-11-28T09:59:46Z</dcterms:created>
  <dcterms:modified xsi:type="dcterms:W3CDTF">2025-11-28T10:50:17Z</dcterms:modified>
</cp:coreProperties>
</file>